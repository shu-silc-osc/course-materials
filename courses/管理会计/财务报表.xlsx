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于松正\Desktop\"/>
    </mc:Choice>
  </mc:AlternateContent>
  <xr:revisionPtr revIDLastSave="0" documentId="13_ncr:1_{D553981E-BF5A-4477-8E3C-5A44A10FBFA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Sheet1!$A$53:$B$62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I12" i="1"/>
  <c r="I8" i="1"/>
  <c r="I18" i="1" l="1"/>
  <c r="B27" i="1"/>
  <c r="I19" i="1" l="1"/>
  <c r="I20" i="1"/>
  <c r="I22" i="1" s="1"/>
  <c r="F12" i="1"/>
  <c r="E8" i="1"/>
  <c r="C8" i="1"/>
  <c r="B29" i="1"/>
  <c r="I27" i="1"/>
  <c r="I29" i="1" s="1"/>
  <c r="D16" i="1"/>
  <c r="D21" i="1" s="1"/>
  <c r="E16" i="1"/>
  <c r="E21" i="1" s="1"/>
  <c r="F16" i="1"/>
  <c r="F21" i="1" s="1"/>
  <c r="G16" i="1"/>
  <c r="G21" i="1" s="1"/>
  <c r="H16" i="1"/>
  <c r="H21" i="1" s="1"/>
  <c r="C16" i="1"/>
  <c r="C21" i="1" s="1"/>
  <c r="D12" i="1"/>
  <c r="E12" i="1"/>
  <c r="G12" i="1"/>
  <c r="H12" i="1"/>
  <c r="C12" i="1"/>
  <c r="D8" i="1"/>
  <c r="F8" i="1"/>
  <c r="G8" i="1"/>
  <c r="G18" i="1" s="1"/>
  <c r="H8" i="1"/>
  <c r="H18" i="1" l="1"/>
  <c r="H19" i="1" s="1"/>
  <c r="E18" i="1"/>
  <c r="D18" i="1"/>
  <c r="F18" i="1"/>
  <c r="F19" i="1" s="1"/>
  <c r="F20" i="1" s="1"/>
  <c r="F22" i="1" s="1"/>
  <c r="F27" i="1" s="1"/>
  <c r="F29" i="1" s="1"/>
  <c r="C18" i="1"/>
  <c r="C19" i="1" s="1"/>
  <c r="C20" i="1" s="1"/>
  <c r="G19" i="1"/>
  <c r="G20" i="1" s="1"/>
  <c r="G22" i="1" s="1"/>
  <c r="G27" i="1" s="1"/>
  <c r="G29" i="1" s="1"/>
  <c r="E19" i="1"/>
  <c r="D19" i="1"/>
  <c r="H20" i="1" l="1"/>
  <c r="H22" i="1" s="1"/>
  <c r="H27" i="1" s="1"/>
  <c r="H29" i="1" s="1"/>
  <c r="C22" i="1"/>
  <c r="C27" i="1" s="1"/>
  <c r="C29" i="1" s="1"/>
  <c r="D20" i="1"/>
  <c r="D22" i="1" s="1"/>
  <c r="E20" i="1"/>
  <c r="E22" i="1" s="1"/>
  <c r="E27" i="1" s="1"/>
  <c r="E29" i="1" s="1"/>
  <c r="D27" i="1" l="1"/>
  <c r="D29" i="1" s="1"/>
  <c r="B31" i="1" s="1"/>
</calcChain>
</file>

<file path=xl/sharedStrings.xml><?xml version="1.0" encoding="utf-8"?>
<sst xmlns="http://schemas.openxmlformats.org/spreadsheetml/2006/main" count="66" uniqueCount="62">
  <si>
    <t>Year 0</t>
  </si>
  <si>
    <t>Year 1</t>
  </si>
  <si>
    <t>Year 2</t>
  </si>
  <si>
    <t>Year 3</t>
  </si>
  <si>
    <t>Year 4</t>
  </si>
  <si>
    <t>NPV</t>
  </si>
  <si>
    <t>Analysis:</t>
  </si>
  <si>
    <t>Step 3: Providing your recommendation and reasons</t>
  </si>
  <si>
    <t>Recommendation :</t>
  </si>
  <si>
    <t>Reason: Based on the analysis of the Net Present Value (NPV)</t>
  </si>
  <si>
    <t xml:space="preserve">Step 4: Group contribution </t>
  </si>
  <si>
    <t>Question</t>
  </si>
  <si>
    <t>Answer (Yes or No)</t>
  </si>
  <si>
    <t>Group Number</t>
  </si>
  <si>
    <t>Name</t>
  </si>
  <si>
    <t>Student ID</t>
  </si>
  <si>
    <t>Yes</t>
  </si>
  <si>
    <r>
      <rPr>
        <b/>
        <sz val="11"/>
        <color theme="1"/>
        <rFont val="等线"/>
        <charset val="134"/>
        <scheme val="minor"/>
      </rPr>
      <t>Question 2</t>
    </r>
    <r>
      <rPr>
        <sz val="11"/>
        <color theme="1"/>
        <rFont val="等线"/>
        <charset val="134"/>
        <scheme val="minor"/>
      </rPr>
      <t>: If not, have you followed our steps in trying to invite all group members to contribute (Please refer to our FAQs section under our group assignment ?</t>
    </r>
  </si>
  <si>
    <r>
      <rPr>
        <b/>
        <sz val="11"/>
        <color theme="1"/>
        <rFont val="等线"/>
        <charset val="134"/>
        <scheme val="minor"/>
      </rPr>
      <t xml:space="preserve">Question 3: </t>
    </r>
    <r>
      <rPr>
        <sz val="11"/>
        <color theme="1"/>
        <rFont val="等线"/>
        <charset val="134"/>
        <scheme val="minor"/>
      </rPr>
      <t>Have you provided all evidence to your tutor ?</t>
    </r>
  </si>
  <si>
    <t>No</t>
  </si>
  <si>
    <t>Year 5</t>
    <phoneticPr fontId="5" type="noConversion"/>
  </si>
  <si>
    <t>Automated software upgrade cost (Pre-tax)</t>
    <phoneticPr fontId="5" type="noConversion"/>
  </si>
  <si>
    <t>Operating cash flow(OCF)</t>
    <phoneticPr fontId="5" type="noConversion"/>
  </si>
  <si>
    <t>EBIT</t>
    <phoneticPr fontId="5" type="noConversion"/>
  </si>
  <si>
    <t>Net Income</t>
    <phoneticPr fontId="5" type="noConversion"/>
  </si>
  <si>
    <t>Change in Working Capital</t>
    <phoneticPr fontId="5" type="noConversion"/>
  </si>
  <si>
    <t>Initial Investment</t>
    <phoneticPr fontId="5" type="noConversion"/>
  </si>
  <si>
    <t>Year 6</t>
    <phoneticPr fontId="5" type="noConversion"/>
  </si>
  <si>
    <t>Year 7</t>
    <phoneticPr fontId="5" type="noConversion"/>
  </si>
  <si>
    <t>Tax (30%)</t>
    <phoneticPr fontId="5" type="noConversion"/>
  </si>
  <si>
    <t>Total Net CashFlow After Tax</t>
    <phoneticPr fontId="5" type="noConversion"/>
  </si>
  <si>
    <t>Project</t>
    <phoneticPr fontId="5" type="noConversion"/>
  </si>
  <si>
    <t>Equipment disposal at the end of the project (After-tax)</t>
    <phoneticPr fontId="5" type="noConversion"/>
  </si>
  <si>
    <t>Reason: Based on the analysis of the Payback</t>
    <phoneticPr fontId="5" type="noConversion"/>
  </si>
  <si>
    <t xml:space="preserve"> Add: Depreciation</t>
    <phoneticPr fontId="5" type="noConversion"/>
  </si>
  <si>
    <t>Reasoncfor the timing of Asset 1’s disposal: Based on profit maximization</t>
    <phoneticPr fontId="5" type="noConversion"/>
  </si>
  <si>
    <t>We should invest in both asset 1 and asset 2 projects. Automate the suitable production lines; increase
 production line for noise-canceling headphones and reduce publicity and management costs;Asset 1 should be sold at the end of Year 4.</t>
    <phoneticPr fontId="5" type="noConversion"/>
  </si>
  <si>
    <t>The annual tax shield from keeping the machine idle (A$6,000) is lower than the annual decline in its book value (A$20,000), it is optimal to sell the asset in Year 4</t>
    <phoneticPr fontId="5" type="noConversion"/>
  </si>
  <si>
    <t xml:space="preserve">Total Present Value </t>
    <phoneticPr fontId="5" type="noConversion"/>
  </si>
  <si>
    <t>Revenue from Asset 1</t>
    <phoneticPr fontId="5" type="noConversion"/>
  </si>
  <si>
    <t>Revenue from Asset 2</t>
  </si>
  <si>
    <t>Total Revenue</t>
    <phoneticPr fontId="5" type="noConversion"/>
  </si>
  <si>
    <t>Operating Costs from Asset 1</t>
    <phoneticPr fontId="5" type="noConversion"/>
  </si>
  <si>
    <t>Variable Costs from Asset 2</t>
    <phoneticPr fontId="5" type="noConversion"/>
  </si>
  <si>
    <t>Fixed Costs from Asset 2</t>
    <phoneticPr fontId="5" type="noConversion"/>
  </si>
  <si>
    <t>Depreciation of Asset 2</t>
    <phoneticPr fontId="5" type="noConversion"/>
  </si>
  <si>
    <t>Equipment disposal of Asset 2 (Pre-tax)</t>
    <phoneticPr fontId="5" type="noConversion"/>
  </si>
  <si>
    <t>Totoal Costs</t>
    <phoneticPr fontId="5" type="noConversion"/>
  </si>
  <si>
    <t>Depreciation of Asset 1</t>
    <phoneticPr fontId="5" type="noConversion"/>
  </si>
  <si>
    <t>Cost savings of Asset 1</t>
    <phoneticPr fontId="5" type="noConversion"/>
  </si>
  <si>
    <t>Total Depreciation</t>
    <phoneticPr fontId="5" type="noConversion"/>
  </si>
  <si>
    <t>Equipment disposal at book value of Asset 1 (Pre-tax)</t>
    <phoneticPr fontId="5" type="noConversion"/>
  </si>
  <si>
    <t>Step 2: Performing your Payback period calculation</t>
    <phoneticPr fontId="5" type="noConversion"/>
  </si>
  <si>
    <t>Opportunity Cost</t>
    <phoneticPr fontId="5" type="noConversion"/>
  </si>
  <si>
    <t>2.75 years</t>
    <phoneticPr fontId="5" type="noConversion"/>
  </si>
  <si>
    <t>Since the payback period (2.75 years) is below the 5-year threshold, the project should be accepted.</t>
    <phoneticPr fontId="5" type="noConversion"/>
  </si>
  <si>
    <t>The project’s NPV is A$864878, which is significantly greater than zero; therefore, the project is profitable and should be accepted.</t>
    <phoneticPr fontId="5" type="noConversion"/>
  </si>
  <si>
    <t>Step 1: Performing your Capit+A1:I49al Budgeting analysis</t>
    <phoneticPr fontId="5" type="noConversion"/>
  </si>
  <si>
    <r>
      <rPr>
        <b/>
        <sz val="11"/>
        <color theme="1"/>
        <rFont val="等线"/>
        <charset val="134"/>
        <scheme val="minor"/>
      </rPr>
      <t>Question 1</t>
    </r>
    <r>
      <rPr>
        <sz val="11"/>
        <color theme="1"/>
        <rFont val="等线"/>
        <charset val="134"/>
        <scheme val="minor"/>
      </rPr>
      <t>: Are all group members contribute evenly ?</t>
    </r>
    <phoneticPr fontId="5" type="noConversion"/>
  </si>
  <si>
    <t>Songzheng Yu</t>
    <phoneticPr fontId="5" type="noConversion"/>
  </si>
  <si>
    <t>Junkai Bao</t>
    <phoneticPr fontId="5" type="noConversion"/>
  </si>
  <si>
    <t>Jingyuan Hu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</si>
</sst>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&quot;$&quot;* #,##0.00_-;\-&quot;$&quot;* #,##0.00_-;_-&quot;$&quot;* &quot;-&quot;??_-;_-@_-"/>
    <numFmt numFmtId="177" formatCode="&quot;$&quot;#,##0"/>
    <numFmt numFmtId="178" formatCode="[$$-C09]#,##0.00;\-[$$-C09]#,##0.00"/>
  </numFmts>
  <fonts count="11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176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03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3" borderId="0" xfId="0" applyFont="1" applyFill="1"/>
    <xf numFmtId="0" fontId="3" fillId="3" borderId="0" xfId="0" applyFont="1" applyFill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176" fontId="0" fillId="2" borderId="0" xfId="1" applyFont="1" applyFill="1" applyBorder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177" fontId="0" fillId="2" borderId="0" xfId="0" applyNumberFormat="1" applyFill="1" applyAlignment="1">
      <alignment horizontal="center" vertical="top"/>
    </xf>
    <xf numFmtId="0" fontId="1" fillId="3" borderId="13" xfId="0" applyFont="1" applyFill="1" applyBorder="1"/>
    <xf numFmtId="0" fontId="0" fillId="3" borderId="14" xfId="0" applyFill="1" applyBorder="1"/>
    <xf numFmtId="0" fontId="0" fillId="3" borderId="7" xfId="0" applyFill="1" applyBorder="1"/>
    <xf numFmtId="0" fontId="1" fillId="3" borderId="10" xfId="0" applyFont="1" applyFill="1" applyBorder="1"/>
    <xf numFmtId="177" fontId="0" fillId="3" borderId="15" xfId="0" applyNumberFormat="1" applyFill="1" applyBorder="1"/>
    <xf numFmtId="177" fontId="0" fillId="3" borderId="12" xfId="0" applyNumberFormat="1" applyFill="1" applyBorder="1"/>
    <xf numFmtId="177" fontId="0" fillId="2" borderId="0" xfId="0" applyNumberFormat="1" applyFill="1"/>
    <xf numFmtId="177" fontId="0" fillId="2" borderId="0" xfId="0" applyNumberFormat="1" applyFill="1" applyAlignment="1">
      <alignment horizontal="left" vertical="top"/>
    </xf>
    <xf numFmtId="0" fontId="1" fillId="3" borderId="11" xfId="0" applyFont="1" applyFill="1" applyBorder="1"/>
    <xf numFmtId="177" fontId="0" fillId="3" borderId="9" xfId="0" applyNumberFormat="1" applyFill="1" applyBorder="1"/>
    <xf numFmtId="177" fontId="0" fillId="3" borderId="10" xfId="0" applyNumberFormat="1" applyFill="1" applyBorder="1"/>
    <xf numFmtId="177" fontId="1" fillId="5" borderId="1" xfId="0" applyNumberFormat="1" applyFont="1" applyFill="1" applyBorder="1" applyAlignment="1">
      <alignment horizontal="center" vertical="center"/>
    </xf>
    <xf numFmtId="177" fontId="1" fillId="6" borderId="1" xfId="0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left"/>
    </xf>
    <xf numFmtId="0" fontId="6" fillId="5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178" fontId="9" fillId="6" borderId="1" xfId="0" applyNumberFormat="1" applyFont="1" applyFill="1" applyBorder="1" applyAlignment="1">
      <alignment horizontal="center"/>
    </xf>
    <xf numFmtId="178" fontId="0" fillId="6" borderId="1" xfId="0" applyNumberFormat="1" applyFill="1" applyBorder="1" applyAlignment="1">
      <alignment horizontal="center"/>
    </xf>
    <xf numFmtId="178" fontId="3" fillId="6" borderId="1" xfId="0" applyNumberFormat="1" applyFont="1" applyFill="1" applyBorder="1" applyAlignment="1">
      <alignment horizontal="center"/>
    </xf>
    <xf numFmtId="178" fontId="0" fillId="6" borderId="3" xfId="0" applyNumberFormat="1" applyFill="1" applyBorder="1" applyAlignment="1">
      <alignment horizontal="center"/>
    </xf>
    <xf numFmtId="178" fontId="0" fillId="6" borderId="4" xfId="0" applyNumberFormat="1" applyFill="1" applyBorder="1" applyAlignment="1">
      <alignment horizontal="center"/>
    </xf>
    <xf numFmtId="178" fontId="3" fillId="6" borderId="3" xfId="0" applyNumberFormat="1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9" fontId="6" fillId="4" borderId="1" xfId="2" applyFont="1" applyFill="1" applyBorder="1" applyAlignment="1">
      <alignment horizontal="center"/>
    </xf>
    <xf numFmtId="0" fontId="0" fillId="3" borderId="9" xfId="0" applyFill="1" applyBorder="1"/>
    <xf numFmtId="0" fontId="6" fillId="3" borderId="5" xfId="0" applyFont="1" applyFill="1" applyBorder="1"/>
    <xf numFmtId="0" fontId="6" fillId="3" borderId="6" xfId="0" applyFont="1" applyFill="1" applyBorder="1"/>
    <xf numFmtId="0" fontId="6" fillId="5" borderId="1" xfId="0" applyFont="1" applyFill="1" applyBorder="1" applyAlignment="1">
      <alignment horizontal="center" vertical="center"/>
    </xf>
    <xf numFmtId="178" fontId="0" fillId="6" borderId="3" xfId="0" applyNumberFormat="1" applyFill="1" applyBorder="1" applyAlignment="1">
      <alignment horizontal="center"/>
    </xf>
    <xf numFmtId="178" fontId="0" fillId="6" borderId="4" xfId="0" applyNumberFormat="1" applyFill="1" applyBorder="1" applyAlignment="1">
      <alignment horizontal="center"/>
    </xf>
    <xf numFmtId="178" fontId="0" fillId="6" borderId="5" xfId="1" applyNumberFormat="1" applyFont="1" applyFill="1" applyBorder="1" applyAlignment="1">
      <alignment horizontal="center" wrapText="1"/>
    </xf>
    <xf numFmtId="178" fontId="0" fillId="6" borderId="6" xfId="1" applyNumberFormat="1" applyFont="1" applyFill="1" applyBorder="1" applyAlignment="1">
      <alignment horizontal="center" wrapText="1"/>
    </xf>
    <xf numFmtId="178" fontId="0" fillId="6" borderId="8" xfId="1" applyNumberFormat="1" applyFont="1" applyFill="1" applyBorder="1" applyAlignment="1">
      <alignment horizontal="center" wrapText="1"/>
    </xf>
    <xf numFmtId="177" fontId="6" fillId="6" borderId="13" xfId="0" applyNumberFormat="1" applyFont="1" applyFill="1" applyBorder="1" applyAlignment="1">
      <alignment horizontal="center" vertical="top" wrapText="1"/>
    </xf>
    <xf numFmtId="177" fontId="1" fillId="6" borderId="14" xfId="0" applyNumberFormat="1" applyFont="1" applyFill="1" applyBorder="1" applyAlignment="1">
      <alignment horizontal="center" vertical="top"/>
    </xf>
    <xf numFmtId="177" fontId="1" fillId="6" borderId="7" xfId="0" applyNumberFormat="1" applyFont="1" applyFill="1" applyBorder="1" applyAlignment="1">
      <alignment horizontal="center" vertical="top"/>
    </xf>
    <xf numFmtId="177" fontId="1" fillId="6" borderId="10" xfId="0" applyNumberFormat="1" applyFont="1" applyFill="1" applyBorder="1" applyAlignment="1">
      <alignment horizontal="center" vertical="top"/>
    </xf>
    <xf numFmtId="177" fontId="1" fillId="6" borderId="15" xfId="0" applyNumberFormat="1" applyFont="1" applyFill="1" applyBorder="1" applyAlignment="1">
      <alignment horizontal="center" vertical="top"/>
    </xf>
    <xf numFmtId="177" fontId="1" fillId="6" borderId="12" xfId="0" applyNumberFormat="1" applyFont="1" applyFill="1" applyBorder="1" applyAlignment="1">
      <alignment horizontal="center" vertical="top"/>
    </xf>
    <xf numFmtId="0" fontId="1" fillId="5" borderId="13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177" fontId="10" fillId="6" borderId="13" xfId="0" applyNumberFormat="1" applyFont="1" applyFill="1" applyBorder="1" applyAlignment="1">
      <alignment horizontal="center" vertical="top" wrapText="1"/>
    </xf>
    <xf numFmtId="177" fontId="10" fillId="6" borderId="14" xfId="0" applyNumberFormat="1" applyFont="1" applyFill="1" applyBorder="1" applyAlignment="1">
      <alignment horizontal="center" vertical="top" wrapText="1"/>
    </xf>
    <xf numFmtId="177" fontId="10" fillId="6" borderId="7" xfId="0" applyNumberFormat="1" applyFont="1" applyFill="1" applyBorder="1" applyAlignment="1">
      <alignment horizontal="center" vertical="top" wrapText="1"/>
    </xf>
    <xf numFmtId="177" fontId="10" fillId="6" borderId="11" xfId="0" applyNumberFormat="1" applyFont="1" applyFill="1" applyBorder="1" applyAlignment="1">
      <alignment horizontal="center" vertical="top" wrapText="1"/>
    </xf>
    <xf numFmtId="177" fontId="10" fillId="6" borderId="0" xfId="0" applyNumberFormat="1" applyFont="1" applyFill="1" applyAlignment="1">
      <alignment horizontal="center" vertical="top" wrapText="1"/>
    </xf>
    <xf numFmtId="177" fontId="10" fillId="6" borderId="9" xfId="0" applyNumberFormat="1" applyFont="1" applyFill="1" applyBorder="1" applyAlignment="1">
      <alignment horizontal="center" vertical="top" wrapText="1"/>
    </xf>
    <xf numFmtId="177" fontId="10" fillId="6" borderId="10" xfId="0" applyNumberFormat="1" applyFont="1" applyFill="1" applyBorder="1" applyAlignment="1">
      <alignment horizontal="center" vertical="top" wrapText="1"/>
    </xf>
    <xf numFmtId="177" fontId="10" fillId="6" borderId="15" xfId="0" applyNumberFormat="1" applyFont="1" applyFill="1" applyBorder="1" applyAlignment="1">
      <alignment horizontal="center" vertical="top" wrapText="1"/>
    </xf>
    <xf numFmtId="177" fontId="10" fillId="6" borderId="12" xfId="0" applyNumberFormat="1" applyFont="1" applyFill="1" applyBorder="1" applyAlignment="1">
      <alignment horizontal="center" vertical="top" wrapText="1"/>
    </xf>
    <xf numFmtId="177" fontId="10" fillId="6" borderId="5" xfId="0" applyNumberFormat="1" applyFont="1" applyFill="1" applyBorder="1" applyAlignment="1">
      <alignment horizontal="center" vertical="top" wrapText="1"/>
    </xf>
    <xf numFmtId="177" fontId="10" fillId="6" borderId="6" xfId="0" applyNumberFormat="1" applyFont="1" applyFill="1" applyBorder="1" applyAlignment="1">
      <alignment horizontal="center" vertical="top" wrapText="1"/>
    </xf>
    <xf numFmtId="177" fontId="10" fillId="6" borderId="8" xfId="0" applyNumberFormat="1" applyFont="1" applyFill="1" applyBorder="1" applyAlignment="1">
      <alignment horizontal="center" vertical="top" wrapText="1"/>
    </xf>
    <xf numFmtId="0" fontId="6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wrapText="1"/>
    </xf>
    <xf numFmtId="0" fontId="0" fillId="6" borderId="1" xfId="0" applyFill="1" applyBorder="1" applyAlignment="1">
      <alignment horizontal="center" wrapText="1"/>
    </xf>
    <xf numFmtId="177" fontId="10" fillId="6" borderId="13" xfId="0" applyNumberFormat="1" applyFont="1" applyFill="1" applyBorder="1" applyAlignment="1">
      <alignment horizontal="left" vertical="top" wrapText="1"/>
    </xf>
    <xf numFmtId="177" fontId="0" fillId="6" borderId="14" xfId="0" applyNumberFormat="1" applyFill="1" applyBorder="1" applyAlignment="1">
      <alignment horizontal="left" vertical="top" wrapText="1"/>
    </xf>
    <xf numFmtId="177" fontId="0" fillId="6" borderId="7" xfId="0" applyNumberFormat="1" applyFill="1" applyBorder="1" applyAlignment="1">
      <alignment horizontal="left" vertical="top" wrapText="1"/>
    </xf>
    <xf numFmtId="177" fontId="0" fillId="6" borderId="11" xfId="0" applyNumberFormat="1" applyFill="1" applyBorder="1" applyAlignment="1">
      <alignment horizontal="left" vertical="top" wrapText="1"/>
    </xf>
    <xf numFmtId="177" fontId="0" fillId="6" borderId="0" xfId="0" applyNumberFormat="1" applyFill="1" applyAlignment="1">
      <alignment horizontal="left" vertical="top" wrapText="1"/>
    </xf>
    <xf numFmtId="177" fontId="0" fillId="6" borderId="9" xfId="0" applyNumberFormat="1" applyFill="1" applyBorder="1" applyAlignment="1">
      <alignment horizontal="left" vertical="top" wrapText="1"/>
    </xf>
    <xf numFmtId="177" fontId="0" fillId="6" borderId="10" xfId="0" applyNumberFormat="1" applyFill="1" applyBorder="1" applyAlignment="1">
      <alignment horizontal="left" vertical="top" wrapText="1"/>
    </xf>
    <xf numFmtId="177" fontId="0" fillId="6" borderId="15" xfId="0" applyNumberFormat="1" applyFill="1" applyBorder="1" applyAlignment="1">
      <alignment horizontal="left" vertical="top" wrapText="1"/>
    </xf>
    <xf numFmtId="177" fontId="0" fillId="6" borderId="12" xfId="0" applyNumberFormat="1" applyFill="1" applyBorder="1" applyAlignment="1">
      <alignment horizontal="left" vertical="top" wrapText="1"/>
    </xf>
    <xf numFmtId="0" fontId="1" fillId="5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8" fillId="6" borderId="9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8" fillId="6" borderId="12" xfId="0" applyFont="1" applyFill="1" applyBorder="1" applyAlignment="1">
      <alignment horizontal="center"/>
    </xf>
    <xf numFmtId="0" fontId="8" fillId="6" borderId="13" xfId="0" applyFont="1" applyFill="1" applyBorder="1" applyAlignment="1">
      <alignment horizontal="center"/>
    </xf>
    <xf numFmtId="0" fontId="8" fillId="6" borderId="14" xfId="0" applyFont="1" applyFill="1" applyBorder="1" applyAlignment="1">
      <alignment horizontal="center"/>
    </xf>
    <xf numFmtId="0" fontId="8" fillId="6" borderId="7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0" fillId="5" borderId="1" xfId="0" applyFill="1" applyBorder="1" applyAlignment="1">
      <alignment horizontal="left" wrapText="1"/>
    </xf>
    <xf numFmtId="177" fontId="0" fillId="5" borderId="2" xfId="0" applyNumberFormat="1" applyFill="1" applyBorder="1" applyAlignment="1">
      <alignment horizontal="center" wrapText="1"/>
    </xf>
    <xf numFmtId="177" fontId="0" fillId="5" borderId="4" xfId="0" applyNumberFormat="1" applyFill="1" applyBorder="1" applyAlignment="1">
      <alignment horizontal="center" wrapText="1"/>
    </xf>
    <xf numFmtId="177" fontId="9" fillId="5" borderId="3" xfId="0" applyNumberFormat="1" applyFont="1" applyFill="1" applyBorder="1" applyAlignment="1">
      <alignment horizontal="center" wrapText="1"/>
    </xf>
    <xf numFmtId="177" fontId="0" fillId="6" borderId="3" xfId="0" applyNumberFormat="1" applyFill="1" applyBorder="1" applyAlignment="1">
      <alignment horizontal="center" wrapText="1"/>
    </xf>
    <xf numFmtId="177" fontId="0" fillId="6" borderId="2" xfId="0" applyNumberFormat="1" applyFill="1" applyBorder="1" applyAlignment="1">
      <alignment horizontal="center" wrapText="1"/>
    </xf>
    <xf numFmtId="177" fontId="0" fillId="6" borderId="4" xfId="0" applyNumberFormat="1" applyFill="1" applyBorder="1" applyAlignment="1">
      <alignment horizontal="center" wrapText="1"/>
    </xf>
    <xf numFmtId="0" fontId="9" fillId="6" borderId="1" xfId="0" applyFont="1" applyFill="1" applyBorder="1" applyAlignment="1">
      <alignment horizontal="left"/>
    </xf>
  </cellXfs>
  <cellStyles count="3">
    <cellStyle name="百分比" xfId="2" builtinId="5"/>
    <cellStyle name="常规" xfId="0" builtinId="0"/>
    <cellStyle name="货币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2"/>
  <sheetViews>
    <sheetView tabSelected="1" topLeftCell="A34" zoomScale="85" zoomScaleNormal="85" workbookViewId="0">
      <selection activeCell="G55" sqref="G55"/>
    </sheetView>
  </sheetViews>
  <sheetFormatPr defaultColWidth="9.1328125" defaultRowHeight="13.9" x14ac:dyDescent="0.4"/>
  <cols>
    <col min="1" max="1" width="67.9296875" style="1" customWidth="1"/>
    <col min="2" max="2" width="18.1328125" style="2" customWidth="1"/>
    <col min="3" max="3" width="17.3984375" style="2" customWidth="1"/>
    <col min="4" max="4" width="13.53125" style="2" customWidth="1"/>
    <col min="5" max="5" width="14.73046875" style="2" customWidth="1"/>
    <col min="6" max="6" width="13.3984375" style="2" customWidth="1"/>
    <col min="7" max="7" width="14.3984375" style="2" customWidth="1"/>
    <col min="8" max="8" width="15.3984375" style="2" customWidth="1"/>
    <col min="9" max="9" width="14.73046875" style="2" customWidth="1"/>
    <col min="10" max="16384" width="9.1328125" style="2"/>
  </cols>
  <sheetData>
    <row r="1" spans="1:9" x14ac:dyDescent="0.4">
      <c r="A1" s="3" t="s">
        <v>57</v>
      </c>
      <c r="B1" s="4"/>
      <c r="C1" s="4"/>
      <c r="D1" s="4"/>
      <c r="E1" s="4"/>
      <c r="F1" s="4"/>
      <c r="G1" s="4"/>
      <c r="H1" s="4"/>
      <c r="I1" s="4"/>
    </row>
    <row r="2" spans="1:9" s="1" customFormat="1" x14ac:dyDescent="0.4">
      <c r="A2" s="33" t="s">
        <v>31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25" t="s">
        <v>20</v>
      </c>
      <c r="H2" s="25" t="s">
        <v>27</v>
      </c>
      <c r="I2" s="25" t="s">
        <v>28</v>
      </c>
    </row>
    <row r="3" spans="1:9" x14ac:dyDescent="0.4">
      <c r="A3" s="24" t="s">
        <v>21</v>
      </c>
      <c r="B3" s="26">
        <v>-20000</v>
      </c>
      <c r="C3" s="27"/>
      <c r="D3" s="27"/>
      <c r="E3" s="27"/>
      <c r="F3" s="27"/>
      <c r="G3" s="27"/>
      <c r="H3" s="26"/>
      <c r="I3" s="27"/>
    </row>
    <row r="4" spans="1:9" x14ac:dyDescent="0.4">
      <c r="A4" s="24" t="s">
        <v>25</v>
      </c>
      <c r="B4" s="27"/>
      <c r="C4" s="27">
        <v>-50000</v>
      </c>
      <c r="D4" s="27"/>
      <c r="E4" s="27"/>
      <c r="F4" s="27"/>
      <c r="G4" s="27"/>
      <c r="H4" s="27"/>
      <c r="I4" s="27">
        <v>50000</v>
      </c>
    </row>
    <row r="5" spans="1:9" x14ac:dyDescent="0.4">
      <c r="A5" s="24" t="s">
        <v>26</v>
      </c>
      <c r="B5" s="27"/>
      <c r="C5" s="27">
        <v>-200000</v>
      </c>
      <c r="D5" s="27"/>
      <c r="E5" s="27"/>
      <c r="F5" s="27"/>
      <c r="G5" s="27"/>
      <c r="H5" s="27"/>
      <c r="I5" s="27"/>
    </row>
    <row r="6" spans="1:9" x14ac:dyDescent="0.4">
      <c r="A6" s="24" t="s">
        <v>39</v>
      </c>
      <c r="B6" s="26"/>
      <c r="C6" s="27">
        <v>70000</v>
      </c>
      <c r="D6" s="27">
        <v>70000</v>
      </c>
      <c r="E6" s="27">
        <v>70000</v>
      </c>
      <c r="F6" s="27">
        <v>70000</v>
      </c>
      <c r="G6" s="27"/>
      <c r="H6" s="26"/>
      <c r="I6" s="27"/>
    </row>
    <row r="7" spans="1:9" s="1" customFormat="1" x14ac:dyDescent="0.4">
      <c r="A7" s="24" t="s">
        <v>40</v>
      </c>
      <c r="B7" s="27"/>
      <c r="C7" s="27"/>
      <c r="D7" s="27">
        <v>450000</v>
      </c>
      <c r="E7" s="27">
        <v>500000</v>
      </c>
      <c r="F7" s="27">
        <v>550000</v>
      </c>
      <c r="G7" s="27">
        <v>600000</v>
      </c>
      <c r="H7" s="27">
        <v>650000</v>
      </c>
      <c r="I7" s="27">
        <v>750000</v>
      </c>
    </row>
    <row r="8" spans="1:9" s="1" customFormat="1" x14ac:dyDescent="0.4">
      <c r="A8" s="24" t="s">
        <v>41</v>
      </c>
      <c r="B8" s="27"/>
      <c r="C8" s="27">
        <f>C6+C7</f>
        <v>70000</v>
      </c>
      <c r="D8" s="27">
        <f t="shared" ref="D8:I8" si="0">D6+D7</f>
        <v>520000</v>
      </c>
      <c r="E8" s="27">
        <f>E6+E7</f>
        <v>570000</v>
      </c>
      <c r="F8" s="27">
        <f t="shared" si="0"/>
        <v>620000</v>
      </c>
      <c r="G8" s="27">
        <f t="shared" si="0"/>
        <v>600000</v>
      </c>
      <c r="H8" s="27">
        <f t="shared" si="0"/>
        <v>650000</v>
      </c>
      <c r="I8" s="27">
        <f t="shared" si="0"/>
        <v>750000</v>
      </c>
    </row>
    <row r="9" spans="1:9" x14ac:dyDescent="0.4">
      <c r="A9" s="24" t="s">
        <v>42</v>
      </c>
      <c r="B9" s="26"/>
      <c r="C9" s="27">
        <v>-100000</v>
      </c>
      <c r="D9" s="27">
        <v>-100000</v>
      </c>
      <c r="E9" s="27">
        <v>-100000</v>
      </c>
      <c r="F9" s="27">
        <v>-100000</v>
      </c>
      <c r="G9" s="27"/>
      <c r="H9" s="26"/>
      <c r="I9" s="27"/>
    </row>
    <row r="10" spans="1:9" x14ac:dyDescent="0.4">
      <c r="A10" s="24" t="s">
        <v>43</v>
      </c>
      <c r="B10" s="27"/>
      <c r="C10" s="27"/>
      <c r="D10" s="27">
        <v>-180000</v>
      </c>
      <c r="E10" s="27">
        <v>-195000</v>
      </c>
      <c r="F10" s="27">
        <v>-210000</v>
      </c>
      <c r="G10" s="27">
        <v>-225000</v>
      </c>
      <c r="H10" s="27">
        <v>-240000</v>
      </c>
      <c r="I10" s="27"/>
    </row>
    <row r="11" spans="1:9" x14ac:dyDescent="0.4">
      <c r="A11" s="24" t="s">
        <v>44</v>
      </c>
      <c r="B11" s="27"/>
      <c r="C11" s="27"/>
      <c r="D11" s="27">
        <v>-100000</v>
      </c>
      <c r="E11" s="27">
        <v>-100000</v>
      </c>
      <c r="F11" s="27">
        <v>-100000</v>
      </c>
      <c r="G11" s="27">
        <v>-100000</v>
      </c>
      <c r="H11" s="27">
        <v>-100000</v>
      </c>
      <c r="I11" s="27">
        <v>-50000</v>
      </c>
    </row>
    <row r="12" spans="1:9" x14ac:dyDescent="0.4">
      <c r="A12" s="24" t="s">
        <v>47</v>
      </c>
      <c r="B12" s="27"/>
      <c r="C12" s="27">
        <f>C9+C10+C11</f>
        <v>-100000</v>
      </c>
      <c r="D12" s="27">
        <f t="shared" ref="D12:I12" si="1">D9+D10+D11</f>
        <v>-380000</v>
      </c>
      <c r="E12" s="27">
        <f t="shared" si="1"/>
        <v>-395000</v>
      </c>
      <c r="F12" s="27">
        <f t="shared" si="1"/>
        <v>-410000</v>
      </c>
      <c r="G12" s="27">
        <f t="shared" si="1"/>
        <v>-325000</v>
      </c>
      <c r="H12" s="27">
        <f t="shared" si="1"/>
        <v>-340000</v>
      </c>
      <c r="I12" s="27">
        <f t="shared" si="1"/>
        <v>-50000</v>
      </c>
    </row>
    <row r="13" spans="1:9" x14ac:dyDescent="0.4">
      <c r="A13" s="24" t="s">
        <v>53</v>
      </c>
      <c r="B13" s="26"/>
      <c r="C13" s="27">
        <v>-10000</v>
      </c>
      <c r="D13" s="27">
        <v>-10000</v>
      </c>
      <c r="E13" s="27">
        <v>-10000</v>
      </c>
      <c r="F13" s="27">
        <v>-10000</v>
      </c>
      <c r="G13" s="27">
        <v>-10000</v>
      </c>
      <c r="H13" s="27">
        <v>-10000</v>
      </c>
      <c r="I13" s="27">
        <v>-10000</v>
      </c>
    </row>
    <row r="14" spans="1:9" x14ac:dyDescent="0.4">
      <c r="A14" s="24" t="s">
        <v>48</v>
      </c>
      <c r="B14" s="26"/>
      <c r="C14" s="27">
        <v>-20000</v>
      </c>
      <c r="D14" s="27">
        <v>-20000</v>
      </c>
      <c r="E14" s="27">
        <v>-20000</v>
      </c>
      <c r="F14" s="27">
        <v>-20000</v>
      </c>
      <c r="G14" s="27"/>
      <c r="H14" s="26"/>
      <c r="I14" s="27"/>
    </row>
    <row r="15" spans="1:9" x14ac:dyDescent="0.4">
      <c r="A15" s="24" t="s">
        <v>45</v>
      </c>
      <c r="B15" s="28"/>
      <c r="C15" s="28"/>
      <c r="D15" s="28">
        <v>-40000</v>
      </c>
      <c r="E15" s="28">
        <v>-40000</v>
      </c>
      <c r="F15" s="28">
        <v>-40000</v>
      </c>
      <c r="G15" s="28">
        <v>-40000</v>
      </c>
      <c r="H15" s="28">
        <v>-40000</v>
      </c>
      <c r="I15" s="28"/>
    </row>
    <row r="16" spans="1:9" x14ac:dyDescent="0.4">
      <c r="A16" s="24" t="s">
        <v>50</v>
      </c>
      <c r="B16" s="28"/>
      <c r="C16" s="28">
        <f>C14+C15</f>
        <v>-20000</v>
      </c>
      <c r="D16" s="28">
        <f t="shared" ref="D16:H16" si="2">D14+D15</f>
        <v>-60000</v>
      </c>
      <c r="E16" s="28">
        <f t="shared" si="2"/>
        <v>-60000</v>
      </c>
      <c r="F16" s="28">
        <f t="shared" si="2"/>
        <v>-60000</v>
      </c>
      <c r="G16" s="28">
        <f t="shared" si="2"/>
        <v>-40000</v>
      </c>
      <c r="H16" s="28">
        <f t="shared" si="2"/>
        <v>-40000</v>
      </c>
      <c r="I16" s="28"/>
    </row>
    <row r="17" spans="1:9" x14ac:dyDescent="0.4">
      <c r="A17" s="24" t="s">
        <v>49</v>
      </c>
      <c r="B17" s="27"/>
      <c r="C17" s="27">
        <v>40000</v>
      </c>
      <c r="D17" s="27">
        <v>40000</v>
      </c>
      <c r="E17" s="27">
        <v>40000</v>
      </c>
      <c r="F17" s="27">
        <v>40000</v>
      </c>
      <c r="G17" s="27"/>
      <c r="H17" s="27"/>
      <c r="I17" s="27"/>
    </row>
    <row r="18" spans="1:9" x14ac:dyDescent="0.4">
      <c r="A18" s="24" t="s">
        <v>23</v>
      </c>
      <c r="B18" s="27"/>
      <c r="C18" s="27">
        <f>C8+C12+C16+C17+C13</f>
        <v>-20000</v>
      </c>
      <c r="D18" s="27">
        <f t="shared" ref="D18:I18" si="3">D8+D12+D16+D17+D13</f>
        <v>110000</v>
      </c>
      <c r="E18" s="27">
        <f t="shared" si="3"/>
        <v>145000</v>
      </c>
      <c r="F18" s="27">
        <f t="shared" si="3"/>
        <v>180000</v>
      </c>
      <c r="G18" s="27">
        <f t="shared" si="3"/>
        <v>225000</v>
      </c>
      <c r="H18" s="27">
        <f t="shared" si="3"/>
        <v>260000</v>
      </c>
      <c r="I18" s="27">
        <f t="shared" si="3"/>
        <v>690000</v>
      </c>
    </row>
    <row r="19" spans="1:9" x14ac:dyDescent="0.4">
      <c r="A19" s="24" t="s">
        <v>29</v>
      </c>
      <c r="B19" s="27">
        <v>6000</v>
      </c>
      <c r="C19" s="27">
        <f>C18*0.3</f>
        <v>-6000</v>
      </c>
      <c r="D19" s="27">
        <f t="shared" ref="D19:I19" si="4">D18*0.3</f>
        <v>33000</v>
      </c>
      <c r="E19" s="27">
        <f t="shared" si="4"/>
        <v>43500</v>
      </c>
      <c r="F19" s="27">
        <f t="shared" si="4"/>
        <v>54000</v>
      </c>
      <c r="G19" s="27">
        <f t="shared" si="4"/>
        <v>67500</v>
      </c>
      <c r="H19" s="27">
        <f t="shared" si="4"/>
        <v>78000</v>
      </c>
      <c r="I19" s="27">
        <f t="shared" si="4"/>
        <v>207000</v>
      </c>
    </row>
    <row r="20" spans="1:9" x14ac:dyDescent="0.4">
      <c r="A20" s="24" t="s">
        <v>24</v>
      </c>
      <c r="B20" s="27"/>
      <c r="C20" s="27">
        <f>C18-C19</f>
        <v>-14000</v>
      </c>
      <c r="D20" s="27">
        <f t="shared" ref="D20:G20" si="5">D18-D19</f>
        <v>77000</v>
      </c>
      <c r="E20" s="27">
        <f t="shared" si="5"/>
        <v>101500</v>
      </c>
      <c r="F20" s="27">
        <f t="shared" si="5"/>
        <v>126000</v>
      </c>
      <c r="G20" s="27">
        <f t="shared" si="5"/>
        <v>157500</v>
      </c>
      <c r="H20" s="27">
        <f>H18-H19</f>
        <v>182000</v>
      </c>
      <c r="I20" s="27">
        <f>I18-I19</f>
        <v>483000</v>
      </c>
    </row>
    <row r="21" spans="1:9" x14ac:dyDescent="0.4">
      <c r="A21" s="24" t="s">
        <v>34</v>
      </c>
      <c r="B21" s="27"/>
      <c r="C21" s="27">
        <f>-C16</f>
        <v>20000</v>
      </c>
      <c r="D21" s="27">
        <f t="shared" ref="D21:I21" si="6">-D16</f>
        <v>60000</v>
      </c>
      <c r="E21" s="27">
        <f t="shared" si="6"/>
        <v>60000</v>
      </c>
      <c r="F21" s="27">
        <f t="shared" si="6"/>
        <v>60000</v>
      </c>
      <c r="G21" s="27">
        <f t="shared" si="6"/>
        <v>40000</v>
      </c>
      <c r="H21" s="27">
        <f t="shared" si="6"/>
        <v>40000</v>
      </c>
      <c r="I21" s="27">
        <f t="shared" si="6"/>
        <v>0</v>
      </c>
    </row>
    <row r="22" spans="1:9" x14ac:dyDescent="0.4">
      <c r="A22" s="24" t="s">
        <v>22</v>
      </c>
      <c r="B22" s="27">
        <v>-14000</v>
      </c>
      <c r="C22" s="27">
        <f>C21+C20</f>
        <v>6000</v>
      </c>
      <c r="D22" s="27">
        <f t="shared" ref="D22:G22" si="7">D21+D20</f>
        <v>137000</v>
      </c>
      <c r="E22" s="27">
        <f t="shared" si="7"/>
        <v>161500</v>
      </c>
      <c r="F22" s="27">
        <f t="shared" si="7"/>
        <v>186000</v>
      </c>
      <c r="G22" s="27">
        <f t="shared" si="7"/>
        <v>197500</v>
      </c>
      <c r="H22" s="27">
        <f>H21+H20</f>
        <v>222000</v>
      </c>
      <c r="I22" s="27">
        <f>I21+I20</f>
        <v>483000</v>
      </c>
    </row>
    <row r="23" spans="1:9" x14ac:dyDescent="0.4">
      <c r="A23" s="24" t="s">
        <v>51</v>
      </c>
      <c r="B23" s="27"/>
      <c r="C23" s="27"/>
      <c r="D23" s="27"/>
      <c r="E23" s="27"/>
      <c r="F23" s="27">
        <v>40000</v>
      </c>
      <c r="G23" s="27"/>
      <c r="H23" s="27"/>
      <c r="I23" s="27"/>
    </row>
    <row r="24" spans="1:9" x14ac:dyDescent="0.4">
      <c r="A24" s="32" t="s">
        <v>46</v>
      </c>
      <c r="B24" s="30"/>
      <c r="C24" s="30"/>
      <c r="D24" s="30"/>
      <c r="E24" s="30"/>
      <c r="F24" s="30"/>
      <c r="G24" s="30"/>
      <c r="H24" s="30"/>
      <c r="I24" s="30">
        <v>30000</v>
      </c>
    </row>
    <row r="25" spans="1:9" x14ac:dyDescent="0.4">
      <c r="A25" s="24" t="s">
        <v>29</v>
      </c>
      <c r="B25" s="28"/>
      <c r="C25" s="28"/>
      <c r="D25" s="28"/>
      <c r="E25" s="28"/>
      <c r="F25" s="27">
        <v>0</v>
      </c>
      <c r="G25" s="27"/>
      <c r="H25" s="28"/>
      <c r="I25" s="28">
        <v>-9000</v>
      </c>
    </row>
    <row r="26" spans="1:9" x14ac:dyDescent="0.4">
      <c r="A26" s="24" t="s">
        <v>32</v>
      </c>
      <c r="B26" s="31"/>
      <c r="C26" s="31"/>
      <c r="D26" s="31"/>
      <c r="E26" s="31"/>
      <c r="F26" s="29">
        <v>40000</v>
      </c>
      <c r="G26" s="29"/>
      <c r="H26" s="31"/>
      <c r="I26" s="31">
        <v>21000</v>
      </c>
    </row>
    <row r="27" spans="1:9" x14ac:dyDescent="0.4">
      <c r="A27" s="64" t="s">
        <v>30</v>
      </c>
      <c r="B27" s="38">
        <f>B22</f>
        <v>-14000</v>
      </c>
      <c r="C27" s="38">
        <f>C3+C4+C5+C22+C26</f>
        <v>-244000</v>
      </c>
      <c r="D27" s="38">
        <f>D3+D4+D5+D22+D26</f>
        <v>137000</v>
      </c>
      <c r="E27" s="38">
        <f t="shared" ref="E27:G27" si="8">E3+E4+E5+E22+E26</f>
        <v>161500</v>
      </c>
      <c r="F27" s="38">
        <f t="shared" si="8"/>
        <v>226000</v>
      </c>
      <c r="G27" s="38">
        <f t="shared" si="8"/>
        <v>197500</v>
      </c>
      <c r="H27" s="38">
        <f>H3+H4+H5+H22+H26</f>
        <v>222000</v>
      </c>
      <c r="I27" s="38">
        <f>I3+I4+I5+I22+I26</f>
        <v>554000</v>
      </c>
    </row>
    <row r="28" spans="1:9" x14ac:dyDescent="0.4">
      <c r="A28" s="65"/>
      <c r="B28" s="39"/>
      <c r="C28" s="39"/>
      <c r="D28" s="39"/>
      <c r="E28" s="39"/>
      <c r="F28" s="39"/>
      <c r="G28" s="39"/>
      <c r="H28" s="39"/>
      <c r="I28" s="39"/>
    </row>
    <row r="29" spans="1:9" x14ac:dyDescent="0.4">
      <c r="A29" s="66" t="s">
        <v>38</v>
      </c>
      <c r="B29" s="38">
        <f>B27</f>
        <v>-14000</v>
      </c>
      <c r="C29" s="38">
        <f>C27/1.06</f>
        <v>-230188.67924528301</v>
      </c>
      <c r="D29" s="38">
        <f>D27/1.06/1.06</f>
        <v>121929.51228195087</v>
      </c>
      <c r="E29" s="38">
        <f>E27/1.06/1.06/1.06</f>
        <v>135598.51420971673</v>
      </c>
      <c r="F29" s="38">
        <f>F27/1.06/1.06/1.06/1.06</f>
        <v>179013.16789179263</v>
      </c>
      <c r="G29" s="38">
        <f>G27/1.06/1.06/1.06/1.06/1.06</f>
        <v>147583.48914104627</v>
      </c>
      <c r="H29" s="38">
        <f>H27/1.06/1.06/1.06/1.06/1.06/1.06</f>
        <v>156501.23997760817</v>
      </c>
      <c r="I29" s="38">
        <f>I27/1.06/1.06/1.06/1.06/1.06/1.06/1.06</f>
        <v>368441.64094677428</v>
      </c>
    </row>
    <row r="30" spans="1:9" x14ac:dyDescent="0.4">
      <c r="A30" s="67"/>
      <c r="B30" s="39"/>
      <c r="C30" s="39"/>
      <c r="D30" s="39"/>
      <c r="E30" s="39"/>
      <c r="F30" s="39"/>
      <c r="G30" s="39"/>
      <c r="H30" s="39"/>
      <c r="I30" s="39"/>
    </row>
    <row r="31" spans="1:9" x14ac:dyDescent="0.4">
      <c r="A31" s="6" t="s">
        <v>5</v>
      </c>
      <c r="B31" s="40">
        <f>SUM(B29:I30)</f>
        <v>864878.88520360598</v>
      </c>
      <c r="C31" s="41"/>
      <c r="D31" s="41"/>
      <c r="E31" s="41"/>
      <c r="F31" s="41"/>
      <c r="G31" s="41"/>
      <c r="H31" s="41"/>
      <c r="I31" s="42"/>
    </row>
    <row r="32" spans="1:9" ht="50.25" customHeight="1" x14ac:dyDescent="0.4">
      <c r="A32" s="8"/>
      <c r="B32" s="7"/>
      <c r="C32" s="7"/>
      <c r="D32" s="7"/>
      <c r="E32" s="7"/>
      <c r="F32" s="7"/>
      <c r="G32" s="7"/>
      <c r="H32" s="7"/>
      <c r="I32" s="7"/>
    </row>
    <row r="33" spans="1:16" x14ac:dyDescent="0.4">
      <c r="A33" s="35" t="s">
        <v>52</v>
      </c>
      <c r="B33" s="36"/>
      <c r="C33" s="36"/>
      <c r="D33" s="93"/>
      <c r="E33" s="93"/>
      <c r="F33" s="94"/>
    </row>
    <row r="34" spans="1:16" x14ac:dyDescent="0.4">
      <c r="A34" s="68" t="s">
        <v>6</v>
      </c>
      <c r="B34" s="84" t="s">
        <v>31</v>
      </c>
      <c r="C34" s="85"/>
      <c r="D34" s="85"/>
      <c r="E34" s="85"/>
      <c r="F34" s="86"/>
    </row>
    <row r="35" spans="1:16" x14ac:dyDescent="0.4">
      <c r="A35" s="68"/>
      <c r="B35" s="87"/>
      <c r="C35" s="88"/>
      <c r="D35" s="88"/>
      <c r="E35" s="88"/>
      <c r="F35" s="89"/>
      <c r="G35" s="9"/>
      <c r="H35" s="9"/>
      <c r="I35" s="9"/>
      <c r="J35" s="9"/>
      <c r="K35" s="9"/>
    </row>
    <row r="36" spans="1:16" x14ac:dyDescent="0.4">
      <c r="A36" s="68"/>
      <c r="B36" s="90" t="s">
        <v>54</v>
      </c>
      <c r="C36" s="91"/>
      <c r="D36" s="91"/>
      <c r="E36" s="91"/>
      <c r="F36" s="92"/>
      <c r="G36" s="9"/>
      <c r="H36" s="9"/>
      <c r="I36" s="9"/>
      <c r="J36" s="9"/>
      <c r="K36" s="9"/>
    </row>
    <row r="37" spans="1:16" x14ac:dyDescent="0.4">
      <c r="A37" s="69"/>
      <c r="B37" s="87"/>
      <c r="C37" s="88"/>
      <c r="D37" s="88"/>
      <c r="E37" s="88"/>
      <c r="F37" s="89"/>
      <c r="G37" s="9"/>
      <c r="H37" s="9"/>
      <c r="I37" s="9"/>
      <c r="J37" s="9"/>
      <c r="K37" s="9"/>
    </row>
    <row r="38" spans="1:16" x14ac:dyDescent="0.4">
      <c r="A38" s="10"/>
      <c r="B38" s="11"/>
      <c r="C38" s="11"/>
      <c r="D38" s="11"/>
      <c r="E38" s="11"/>
      <c r="F38" s="12"/>
      <c r="H38" s="9"/>
      <c r="I38" s="9"/>
      <c r="J38" s="9"/>
      <c r="K38" s="9"/>
      <c r="L38" s="9"/>
      <c r="M38" s="9"/>
      <c r="N38" s="9"/>
      <c r="O38" s="9"/>
      <c r="P38" s="9"/>
    </row>
    <row r="39" spans="1:16" x14ac:dyDescent="0.4">
      <c r="A39" s="13" t="s">
        <v>7</v>
      </c>
      <c r="B39" s="14"/>
      <c r="C39" s="14"/>
      <c r="D39" s="14"/>
      <c r="E39" s="14"/>
      <c r="F39" s="15"/>
      <c r="G39" s="16"/>
    </row>
    <row r="40" spans="1:16" x14ac:dyDescent="0.4">
      <c r="A40" s="81" t="s">
        <v>8</v>
      </c>
      <c r="B40" s="43" t="s">
        <v>36</v>
      </c>
      <c r="C40" s="44"/>
      <c r="D40" s="44"/>
      <c r="E40" s="44"/>
      <c r="F40" s="44"/>
      <c r="G40" s="45"/>
    </row>
    <row r="41" spans="1:16" ht="44.25" customHeight="1" x14ac:dyDescent="0.4">
      <c r="A41" s="65"/>
      <c r="B41" s="46"/>
      <c r="C41" s="47"/>
      <c r="D41" s="47"/>
      <c r="E41" s="47"/>
      <c r="F41" s="47"/>
      <c r="G41" s="48"/>
      <c r="H41" s="17"/>
      <c r="I41" s="17"/>
      <c r="J41" s="17"/>
      <c r="K41" s="17"/>
      <c r="L41" s="17"/>
      <c r="M41" s="17"/>
      <c r="N41" s="17"/>
      <c r="O41" s="17"/>
      <c r="P41" s="17"/>
    </row>
    <row r="42" spans="1:16" x14ac:dyDescent="0.4">
      <c r="A42" s="82" t="s">
        <v>33</v>
      </c>
      <c r="B42" s="72" t="s">
        <v>55</v>
      </c>
      <c r="C42" s="73"/>
      <c r="D42" s="73"/>
      <c r="E42" s="73"/>
      <c r="F42" s="73"/>
      <c r="G42" s="74"/>
      <c r="H42" s="17"/>
      <c r="I42" s="17"/>
      <c r="J42" s="17"/>
      <c r="K42" s="17"/>
      <c r="L42" s="17"/>
      <c r="M42" s="17"/>
      <c r="N42" s="17"/>
      <c r="O42" s="17"/>
      <c r="P42" s="17"/>
    </row>
    <row r="43" spans="1:16" x14ac:dyDescent="0.4">
      <c r="A43" s="83"/>
      <c r="B43" s="75"/>
      <c r="C43" s="76"/>
      <c r="D43" s="76"/>
      <c r="E43" s="76"/>
      <c r="F43" s="76"/>
      <c r="G43" s="77"/>
      <c r="H43" s="17"/>
      <c r="I43" s="17"/>
      <c r="J43" s="17"/>
      <c r="K43" s="17"/>
      <c r="L43" s="17"/>
      <c r="M43" s="17"/>
      <c r="N43" s="17"/>
      <c r="O43" s="17"/>
      <c r="P43" s="17"/>
    </row>
    <row r="44" spans="1:16" ht="9.4" customHeight="1" x14ac:dyDescent="0.4">
      <c r="A44" s="83"/>
      <c r="B44" s="75"/>
      <c r="C44" s="76"/>
      <c r="D44" s="76"/>
      <c r="E44" s="76"/>
      <c r="F44" s="76"/>
      <c r="G44" s="77"/>
      <c r="H44" s="17"/>
      <c r="I44" s="17"/>
      <c r="J44" s="17"/>
      <c r="K44" s="17"/>
      <c r="L44" s="17"/>
      <c r="M44" s="17"/>
      <c r="N44" s="17"/>
      <c r="O44" s="17"/>
      <c r="P44" s="17"/>
    </row>
    <row r="45" spans="1:16" ht="40.15" hidden="1" customHeight="1" x14ac:dyDescent="0.4">
      <c r="A45" s="65"/>
      <c r="B45" s="78"/>
      <c r="C45" s="79"/>
      <c r="D45" s="79"/>
      <c r="E45" s="79"/>
      <c r="F45" s="79"/>
      <c r="G45" s="80"/>
      <c r="H45" s="17"/>
      <c r="I45" s="17"/>
      <c r="J45" s="17"/>
      <c r="K45" s="17"/>
      <c r="L45" s="17"/>
      <c r="M45" s="17"/>
      <c r="N45" s="17"/>
      <c r="O45" s="17"/>
      <c r="P45" s="17"/>
    </row>
    <row r="46" spans="1:16" ht="13.9" customHeight="1" x14ac:dyDescent="0.4">
      <c r="A46" s="49" t="s">
        <v>9</v>
      </c>
      <c r="B46" s="52" t="s">
        <v>56</v>
      </c>
      <c r="C46" s="53"/>
      <c r="D46" s="53"/>
      <c r="E46" s="53"/>
      <c r="F46" s="53"/>
      <c r="G46" s="54"/>
    </row>
    <row r="47" spans="1:16" ht="21" customHeight="1" x14ac:dyDescent="0.4">
      <c r="A47" s="50"/>
      <c r="B47" s="55"/>
      <c r="C47" s="56"/>
      <c r="D47" s="56"/>
      <c r="E47" s="56"/>
      <c r="F47" s="56"/>
      <c r="G47" s="57"/>
      <c r="H47" s="9"/>
      <c r="I47" s="9"/>
      <c r="J47" s="9"/>
      <c r="K47" s="9"/>
      <c r="L47" s="9"/>
      <c r="M47" s="9"/>
      <c r="N47" s="9"/>
      <c r="O47" s="9"/>
      <c r="P47" s="9"/>
    </row>
    <row r="48" spans="1:16" ht="21.4" customHeight="1" x14ac:dyDescent="0.4">
      <c r="A48" s="51"/>
      <c r="B48" s="58"/>
      <c r="C48" s="59"/>
      <c r="D48" s="59"/>
      <c r="E48" s="59"/>
      <c r="F48" s="59"/>
      <c r="G48" s="60"/>
      <c r="H48" s="9"/>
      <c r="I48" s="9"/>
      <c r="J48" s="9"/>
      <c r="K48" s="9"/>
      <c r="L48" s="9"/>
      <c r="M48" s="9"/>
      <c r="N48" s="9"/>
      <c r="O48" s="9"/>
      <c r="P48" s="9"/>
    </row>
    <row r="49" spans="1:16" ht="60" customHeight="1" x14ac:dyDescent="0.4">
      <c r="A49" s="37" t="s">
        <v>35</v>
      </c>
      <c r="B49" s="61" t="s">
        <v>37</v>
      </c>
      <c r="C49" s="62"/>
      <c r="D49" s="62"/>
      <c r="E49" s="62"/>
      <c r="F49" s="62"/>
      <c r="G49" s="63"/>
      <c r="H49" s="9"/>
      <c r="I49" s="9"/>
      <c r="J49" s="9"/>
      <c r="K49" s="9"/>
      <c r="L49" s="9"/>
      <c r="M49" s="9"/>
      <c r="N49" s="9"/>
      <c r="O49" s="9"/>
      <c r="P49" s="9"/>
    </row>
    <row r="50" spans="1:16" x14ac:dyDescent="0.4">
      <c r="A50" s="10"/>
      <c r="B50" s="34"/>
      <c r="C50" s="16"/>
      <c r="D50" s="16"/>
      <c r="E50" s="16"/>
      <c r="F50" s="16"/>
      <c r="G50" s="16"/>
      <c r="H50" s="9"/>
      <c r="I50" s="9"/>
      <c r="J50" s="9"/>
      <c r="K50" s="9"/>
      <c r="L50" s="9"/>
      <c r="M50" s="9"/>
      <c r="N50" s="9"/>
      <c r="O50" s="9"/>
      <c r="P50" s="9"/>
    </row>
    <row r="51" spans="1:16" x14ac:dyDescent="0.4">
      <c r="A51" s="18" t="s">
        <v>10</v>
      </c>
      <c r="B51" s="19"/>
      <c r="C51" s="16"/>
      <c r="D51" s="16"/>
      <c r="E51" s="16"/>
      <c r="F51" s="16"/>
      <c r="G51" s="16"/>
    </row>
    <row r="52" spans="1:16" x14ac:dyDescent="0.4">
      <c r="A52" s="20"/>
      <c r="B52" s="15"/>
      <c r="C52" s="16"/>
      <c r="D52" s="16"/>
    </row>
    <row r="53" spans="1:16" x14ac:dyDescent="0.4">
      <c r="A53" s="21" t="s">
        <v>11</v>
      </c>
      <c r="B53" s="22" t="s">
        <v>12</v>
      </c>
      <c r="C53" s="23" t="s">
        <v>13</v>
      </c>
      <c r="D53" s="23" t="s">
        <v>14</v>
      </c>
      <c r="E53" s="23" t="s">
        <v>15</v>
      </c>
    </row>
    <row r="54" spans="1:16" x14ac:dyDescent="0.4">
      <c r="A54" s="98" t="s">
        <v>58</v>
      </c>
      <c r="B54" s="99" t="s">
        <v>16</v>
      </c>
      <c r="C54" s="23">
        <v>1</v>
      </c>
      <c r="D54" s="102" t="s">
        <v>59</v>
      </c>
      <c r="E54" s="23">
        <v>24124338</v>
      </c>
    </row>
    <row r="55" spans="1:16" x14ac:dyDescent="0.4">
      <c r="A55" s="96"/>
      <c r="B55" s="100"/>
      <c r="C55" s="23">
        <v>2</v>
      </c>
      <c r="D55" s="102" t="s">
        <v>60</v>
      </c>
      <c r="E55" s="23">
        <v>24124337</v>
      </c>
    </row>
    <row r="56" spans="1:16" x14ac:dyDescent="0.4">
      <c r="A56" s="97"/>
      <c r="B56" s="101"/>
      <c r="C56" s="23">
        <v>3</v>
      </c>
      <c r="D56" s="102" t="s">
        <v>61</v>
      </c>
      <c r="E56" s="23">
        <v>24124276</v>
      </c>
    </row>
    <row r="57" spans="1:16" x14ac:dyDescent="0.4">
      <c r="A57" s="95" t="s">
        <v>17</v>
      </c>
      <c r="B57" s="71"/>
    </row>
    <row r="58" spans="1:16" ht="15" customHeight="1" x14ac:dyDescent="0.4">
      <c r="A58" s="95"/>
      <c r="B58" s="71"/>
    </row>
    <row r="59" spans="1:16" x14ac:dyDescent="0.4">
      <c r="A59" s="95"/>
      <c r="B59" s="71"/>
    </row>
    <row r="60" spans="1:16" x14ac:dyDescent="0.4">
      <c r="A60" s="95"/>
      <c r="B60" s="71"/>
    </row>
    <row r="61" spans="1:16" x14ac:dyDescent="0.4">
      <c r="A61" s="70" t="s">
        <v>18</v>
      </c>
      <c r="B61" s="71" t="s">
        <v>16</v>
      </c>
    </row>
    <row r="62" spans="1:16" x14ac:dyDescent="0.4">
      <c r="A62" s="70"/>
      <c r="B62" s="71"/>
    </row>
  </sheetData>
  <mergeCells count="36">
    <mergeCell ref="A54:A56"/>
    <mergeCell ref="B54:B56"/>
    <mergeCell ref="A61:A62"/>
    <mergeCell ref="B27:B28"/>
    <mergeCell ref="B29:B30"/>
    <mergeCell ref="B57:B60"/>
    <mergeCell ref="B61:B62"/>
    <mergeCell ref="B42:G45"/>
    <mergeCell ref="A40:A41"/>
    <mergeCell ref="A42:A45"/>
    <mergeCell ref="F27:F28"/>
    <mergeCell ref="F29:F30"/>
    <mergeCell ref="B34:F35"/>
    <mergeCell ref="B36:F37"/>
    <mergeCell ref="D33:F33"/>
    <mergeCell ref="A57:A60"/>
    <mergeCell ref="B40:G41"/>
    <mergeCell ref="A46:A48"/>
    <mergeCell ref="B46:G48"/>
    <mergeCell ref="B49:G49"/>
    <mergeCell ref="A27:A28"/>
    <mergeCell ref="A29:A30"/>
    <mergeCell ref="A34:A37"/>
    <mergeCell ref="C27:C28"/>
    <mergeCell ref="C29:C30"/>
    <mergeCell ref="D27:D28"/>
    <mergeCell ref="D29:D30"/>
    <mergeCell ref="E27:E28"/>
    <mergeCell ref="E29:E30"/>
    <mergeCell ref="G29:G30"/>
    <mergeCell ref="G27:G28"/>
    <mergeCell ref="I29:I30"/>
    <mergeCell ref="H27:H28"/>
    <mergeCell ref="H29:H30"/>
    <mergeCell ref="I27:I28"/>
    <mergeCell ref="B31:I31"/>
  </mergeCells>
  <phoneticPr fontId="5" type="noConversion"/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Sheet2!$C$12:$C$13</xm:f>
          </x14:formula1>
          <xm:sqref>B54 B57:B62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2:C13"/>
  <sheetViews>
    <sheetView workbookViewId="0">
      <selection activeCell="C12" sqref="C12"/>
    </sheetView>
  </sheetViews>
  <sheetFormatPr defaultColWidth="9" defaultRowHeight="13.9" x14ac:dyDescent="0.4"/>
  <sheetData>
    <row r="12" spans="3:3" x14ac:dyDescent="0.4">
      <c r="C12" t="s">
        <v>16</v>
      </c>
    </row>
    <row r="13" spans="3:3" x14ac:dyDescent="0.4">
      <c r="C13" t="s">
        <v>19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594AAA3B84E94297F731597C8F2B4D" ma:contentTypeVersion="13" ma:contentTypeDescription="Create a new document." ma:contentTypeScope="" ma:versionID="8feb8637d8ad4ccfac824cfd733b86fc">
  <xsd:schema xmlns:xsd="http://www.w3.org/2001/XMLSchema" xmlns:xs="http://www.w3.org/2001/XMLSchema" xmlns:p="http://schemas.microsoft.com/office/2006/metadata/properties" xmlns:ns3="d4e1b969-34de-495d-98c7-28cbe6d02a86" xmlns:ns4="2b91ae2c-3910-42fa-8bc0-eac7f45a8fb7" targetNamespace="http://schemas.microsoft.com/office/2006/metadata/properties" ma:root="true" ma:fieldsID="8dcb9faca7f0314e12a1be885338018a" ns3:_="" ns4:_="">
    <xsd:import namespace="d4e1b969-34de-495d-98c7-28cbe6d02a86"/>
    <xsd:import namespace="2b91ae2c-3910-42fa-8bc0-eac7f45a8fb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EventHashCode" minOccurs="0"/>
                <xsd:element ref="ns3:MediaServiceGenerationTime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e1b969-34de-495d-98c7-28cbe6d02a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1ae2c-3910-42fa-8bc0-eac7f45a8fb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10A1F8-F616-41FC-AA66-DFD1E177C8FC}">
  <ds:schemaRefs/>
</ds:datastoreItem>
</file>

<file path=customXml/itemProps2.xml><?xml version="1.0" encoding="utf-8"?>
<ds:datastoreItem xmlns:ds="http://schemas.openxmlformats.org/officeDocument/2006/customXml" ds:itemID="{8F482061-F9BA-47C2-BD7C-4E6BBCA0FACB}">
  <ds:schemaRefs/>
</ds:datastoreItem>
</file>

<file path=customXml/itemProps3.xml><?xml version="1.0" encoding="utf-8"?>
<ds:datastoreItem xmlns:ds="http://schemas.openxmlformats.org/officeDocument/2006/customXml" ds:itemID="{C96AD14F-3A59-47EF-BB44-C335670D2DA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Insearch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Shane Judd</dc:creator>
  <cp:lastModifiedBy>松正 于</cp:lastModifiedBy>
  <cp:lastPrinted>2018-06-26T00:27:00Z</cp:lastPrinted>
  <dcterms:created xsi:type="dcterms:W3CDTF">2018-06-26T00:05:00Z</dcterms:created>
  <dcterms:modified xsi:type="dcterms:W3CDTF">2026-05-05T02:45:19Z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0x010100A1594AAA3B84E94297F731597C8F2B4D</vt:lpwstr>
  </property>
  <property fmtid="{D5CDD505-2E9C-101B-9397-08002B2CF9AE}" pid="3" name="ICV">
    <vt:lpwstr>9522AA64286B40ADB77E60EDA657242D_13</vt:lpwstr>
  </property>
  <property fmtid="{D5CDD505-2E9C-101B-9397-08002B2CF9AE}" pid="4" name="KSOProductBuildVer">
    <vt:lpwstr>2052-12.1.0.23542</vt:lpwstr>
  </property>
</Properties>
</file>